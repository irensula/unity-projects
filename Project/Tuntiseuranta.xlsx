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yna.sula\Documents\git\unity-irensula\Project\"/>
    </mc:Choice>
  </mc:AlternateContent>
  <xr:revisionPtr revIDLastSave="0" documentId="13_ncr:1_{D9CFC34E-51FD-4967-913E-3FED59470D24}" xr6:coauthVersionLast="47" xr6:coauthVersionMax="47" xr10:uidLastSave="{00000000-0000-0000-0000-000000000000}"/>
  <bookViews>
    <workbookView xWindow="3975" yWindow="3015" windowWidth="18900" windowHeight="10965" xr2:uid="{A35A2CE8-B48B-4FB7-BA14-B4605E3E4430}"/>
  </bookViews>
  <sheets>
    <sheet name="tunnit" sheetId="1" r:id="rId1"/>
    <sheet name="yhteenveto" sheetId="4" r:id="rId2"/>
    <sheet name="Taul1" sheetId="5" r:id="rId3"/>
  </sheets>
  <definedNames>
    <definedName name="_xlnm._FilterDatabase" localSheetId="1" hidden="1">yhteenveto!$B$3:$B$7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E22" i="5"/>
  <c r="C7" i="4"/>
  <c r="D7" i="4" s="1"/>
  <c r="C6" i="4"/>
  <c r="D6" i="4" s="1"/>
  <c r="C5" i="4"/>
  <c r="D5" i="4" s="1"/>
  <c r="C4" i="4"/>
  <c r="D4" i="4" s="1"/>
  <c r="C3" i="4"/>
  <c r="C8" i="4" l="1"/>
  <c r="D8" i="4" s="1"/>
  <c r="D3" i="4"/>
</calcChain>
</file>

<file path=xl/sharedStrings.xml><?xml version="1.0" encoding="utf-8"?>
<sst xmlns="http://schemas.openxmlformats.org/spreadsheetml/2006/main" count="83" uniqueCount="62">
  <si>
    <t>Päiväys</t>
  </si>
  <si>
    <t>Suunniteltu</t>
  </si>
  <si>
    <t>Toteutunut</t>
  </si>
  <si>
    <t>Tekijä</t>
  </si>
  <si>
    <t>Tehtävä</t>
  </si>
  <si>
    <t>Kuvaus</t>
  </si>
  <si>
    <t>ke</t>
  </si>
  <si>
    <t>to</t>
  </si>
  <si>
    <t>Yhteensä</t>
  </si>
  <si>
    <t>Opiskelija</t>
  </si>
  <si>
    <t>Loppuraportti</t>
  </si>
  <si>
    <t>Testauslomake</t>
  </si>
  <si>
    <t>Taso 1</t>
  </si>
  <si>
    <t>Suunnittelu</t>
  </si>
  <si>
    <t>Pistelasku</t>
  </si>
  <si>
    <t>Background: Image → Inspector → Texture Type → Sprite (2D and UI) Add Sprite Renderer component</t>
  </si>
  <si>
    <t>1–2</t>
  </si>
  <si>
    <t>Learn Unity basics, create player movement and camera</t>
  </si>
  <si>
    <t>Character controller, input system</t>
  </si>
  <si>
    <t>Add basic environment (terrain, skybox, simple buildings)</t>
  </si>
  <si>
    <t>World design</t>
  </si>
  <si>
    <t>Add item collection + simple inventory</t>
  </si>
  <si>
    <t>Triggers, UI</t>
  </si>
  <si>
    <t>Add NPCs and dialogue system</t>
  </si>
  <si>
    <t>Canvas UI, scripts</t>
  </si>
  <si>
    <t>Implement first quest</t>
  </si>
  <si>
    <t>Logic, quest manager</t>
  </si>
  <si>
    <t>Add sounds, music, and polish</t>
  </si>
  <si>
    <t>Audio, lighting</t>
  </si>
  <si>
    <t>Add 1–2 more quests</t>
  </si>
  <si>
    <t>Story expansion</t>
  </si>
  <si>
    <t>Add win condition and main menu</t>
  </si>
  <si>
    <t>Scene management</t>
  </si>
  <si>
    <t>Bug fixing and documentation</t>
  </si>
  <si>
    <t>Testing, optimization, polish</t>
  </si>
  <si>
    <t>405 hours</t>
  </si>
  <si>
    <t>StartScene</t>
  </si>
  <si>
    <t>Sunnittelu dokumentaatio</t>
  </si>
  <si>
    <t>Прототип</t>
  </si>
  <si>
    <t>Движение, атака, очки</t>
  </si>
  <si>
    <t>Кубы, сферы, капсулы</t>
  </si>
  <si>
    <t>2️⃣ Альфа</t>
  </si>
  <si>
    <t>Добавляешь UI, звуки, уровни</t>
  </si>
  <si>
    <t>Простейшие 3D-модели</t>
  </si>
  <si>
    <t>3️⃣ Бета</t>
  </si>
  <si>
    <t>Заменяешь всё на финальные модели</t>
  </si>
  <si>
    <t>Настоящие 3D-персонажи</t>
  </si>
  <si>
    <t>4️⃣ Финал</t>
  </si>
  <si>
    <t>Эффекты, освещение, полировка</t>
  </si>
  <si>
    <t>Полная графика</t>
  </si>
  <si>
    <t>pe</t>
  </si>
  <si>
    <t>Added environment (trees, house), ghosts and prototype player</t>
  </si>
  <si>
    <t>Ghosts fly towards the player and disappear on collide</t>
  </si>
  <si>
    <t>Health score system with hearts</t>
  </si>
  <si>
    <t>Choose character scene (in progress)</t>
  </si>
  <si>
    <t>ti</t>
  </si>
  <si>
    <t>Choose character scene</t>
  </si>
  <si>
    <t>Player can gather coins (increase his score)</t>
  </si>
  <si>
    <t>When player defeats all ghosts the congratulation panel is shown</t>
  </si>
  <si>
    <t>When player gathers all coins or diamonds the congratulation panels is shown</t>
  </si>
  <si>
    <t>After the info inventory panel and inventory panel arrive, inventory items are spawned in the scene</t>
  </si>
  <si>
    <t>Player can gather inventory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</si>
</sst>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 applyAlignment="1">
      <alignment vertical="center" wrapText="1"/>
    </xf>
    <xf numFmtId="16" fontId="0" fillId="0" borderId="2" xfId="0" applyNumberFormat="1" applyBorder="1" applyAlignment="1">
      <alignment vertical="top"/>
    </xf>
    <xf numFmtId="16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0" fillId="0" borderId="4" xfId="0" applyBorder="1" applyAlignment="1">
      <alignment vertical="top" wrapText="1"/>
    </xf>
    <xf numFmtId="16" fontId="0" fillId="0" borderId="5" xfId="0" applyNumberFormat="1" applyBorder="1" applyAlignment="1">
      <alignment vertical="top"/>
    </xf>
    <xf numFmtId="16" fontId="0" fillId="0" borderId="6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2" fillId="0" borderId="6" xfId="0" applyNumberFormat="1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6" fontId="0" fillId="0" borderId="8" xfId="0" applyNumberFormat="1" applyBorder="1" applyAlignment="1">
      <alignment vertical="top"/>
    </xf>
    <xf numFmtId="16" fontId="0" fillId="0" borderId="0" xfId="0" applyNumberFormat="1" applyBorder="1" applyAlignment="1">
      <alignment vertical="top"/>
    </xf>
    <xf numFmtId="164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6" fontId="0" fillId="0" borderId="10" xfId="0" applyNumberFormat="1" applyBorder="1" applyAlignment="1">
      <alignment vertical="top"/>
    </xf>
    <xf numFmtId="16" fontId="0" fillId="0" borderId="11" xfId="0" applyNumberFormat="1" applyBorder="1" applyAlignment="1">
      <alignment vertical="top"/>
    </xf>
    <xf numFmtId="164" fontId="0" fillId="0" borderId="11" xfId="0" applyNumberFormat="1" applyBorder="1" applyAlignment="1">
      <alignment vertical="top"/>
    </xf>
    <xf numFmtId="164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164" fontId="2" fillId="0" borderId="0" xfId="0" applyNumberFormat="1" applyFont="1" applyBorder="1"/>
    <xf numFmtId="0" fontId="2" fillId="0" borderId="0" xfId="0" applyFont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yhteenveto!$D$2</c:f>
              <c:strCache>
                <c:ptCount val="1"/>
                <c:pt idx="0">
                  <c:v>Yhteensä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6E-46AB-A680-7FDC8EC59E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E-46AB-A680-7FDC8EC59E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6E-46AB-A680-7FDC8EC59E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6E-46AB-A680-7FDC8EC59E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6E-46AB-A680-7FDC8EC59EA4}"/>
              </c:ext>
            </c:extLst>
          </c:dPt>
          <c:cat>
            <c:strRef>
              <c:f>yhteenveto!$B$3:$B$7</c:f>
              <c:strCache>
                <c:ptCount val="5"/>
                <c:pt idx="0">
                  <c:v>Suunnittelu</c:v>
                </c:pt>
                <c:pt idx="1">
                  <c:v>Taso 1</c:v>
                </c:pt>
                <c:pt idx="2">
                  <c:v>Pistelasku</c:v>
                </c:pt>
                <c:pt idx="3">
                  <c:v>Testauslomake</c:v>
                </c:pt>
                <c:pt idx="4">
                  <c:v>Loppuraportti</c:v>
                </c:pt>
              </c:strCache>
            </c:strRef>
          </c:cat>
          <c:val>
            <c:numRef>
              <c:f>yhteenveto!$D$3:$D$7</c:f>
              <c:numCache>
                <c:formatCode>0.00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C-4938-872B-CA4A7B0AF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yhteenveto!$C$2</c:f>
              <c:strCache>
                <c:ptCount val="1"/>
                <c:pt idx="0">
                  <c:v>Opiskelija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yhteenveto!$B$3:$B$7</c:f>
              <c:strCache>
                <c:ptCount val="5"/>
                <c:pt idx="0">
                  <c:v>Suunnittelu</c:v>
                </c:pt>
                <c:pt idx="1">
                  <c:v>Taso 1</c:v>
                </c:pt>
                <c:pt idx="2">
                  <c:v>Pistelasku</c:v>
                </c:pt>
                <c:pt idx="3">
                  <c:v>Testauslomake</c:v>
                </c:pt>
                <c:pt idx="4">
                  <c:v>Loppuraportti</c:v>
                </c:pt>
              </c:strCache>
            </c:strRef>
          </c:cat>
          <c:val>
            <c:numRef>
              <c:f>yhteenveto!$C$3:$C$7</c:f>
              <c:numCache>
                <c:formatCode>0.00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9-48EF-A017-570704FE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620224"/>
        <c:axId val="1301622720"/>
      </c:barChart>
      <c:catAx>
        <c:axId val="130162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01622720"/>
        <c:crosses val="autoZero"/>
        <c:auto val="1"/>
        <c:lblAlgn val="ctr"/>
        <c:lblOffset val="100"/>
        <c:noMultiLvlLbl val="0"/>
      </c:catAx>
      <c:valAx>
        <c:axId val="13016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0162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10</xdr:row>
      <xdr:rowOff>38100</xdr:rowOff>
    </xdr:from>
    <xdr:to>
      <xdr:col>3</xdr:col>
      <xdr:colOff>161925</xdr:colOff>
      <xdr:row>24</xdr:row>
      <xdr:rowOff>114300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463F7377-28AA-40B4-8233-A632F19BA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10</xdr:row>
      <xdr:rowOff>38100</xdr:rowOff>
    </xdr:from>
    <xdr:to>
      <xdr:col>10</xdr:col>
      <xdr:colOff>581025</xdr:colOff>
      <xdr:row>24</xdr:row>
      <xdr:rowOff>114300</xdr:rowOff>
    </xdr:to>
    <xdr:graphicFrame macro="">
      <xdr:nvGraphicFramePr>
        <xdr:cNvPr id="4" name="Kaavio 3">
          <a:extLst>
            <a:ext uri="{FF2B5EF4-FFF2-40B4-BE49-F238E27FC236}">
              <a16:creationId xmlns:a16="http://schemas.microsoft.com/office/drawing/2014/main" id="{BB823C41-FF06-4C16-A335-FF84500C5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90E4-0D15-40D2-B06A-AE3394E7ACA5}">
  <dimension ref="A1:G20"/>
  <sheetViews>
    <sheetView tabSelected="1" topLeftCell="A7" workbookViewId="0">
      <selection activeCell="F12" sqref="F12"/>
    </sheetView>
  </sheetViews>
  <sheetFormatPr defaultRowHeight="15" x14ac:dyDescent="0.25"/>
  <cols>
    <col min="1" max="1" width="9.7109375" bestFit="1" customWidth="1"/>
    <col min="2" max="2" width="3.5703125" bestFit="1" customWidth="1"/>
    <col min="3" max="4" width="10.140625" bestFit="1" customWidth="1"/>
    <col min="5" max="5" width="12.7109375" bestFit="1" customWidth="1"/>
    <col min="6" max="6" width="31.85546875" bestFit="1" customWidth="1"/>
    <col min="7" max="7" width="33.85546875" customWidth="1"/>
  </cols>
  <sheetData>
    <row r="1" spans="1:7" x14ac:dyDescent="0.25">
      <c r="A1" s="16" t="s">
        <v>0</v>
      </c>
      <c r="B1" s="17"/>
      <c r="C1" s="17" t="s">
        <v>1</v>
      </c>
      <c r="D1" s="17" t="s">
        <v>2</v>
      </c>
      <c r="E1" s="17" t="s">
        <v>3</v>
      </c>
      <c r="F1" s="17" t="s">
        <v>4</v>
      </c>
      <c r="G1" s="18" t="s">
        <v>5</v>
      </c>
    </row>
    <row r="2" spans="1:7" x14ac:dyDescent="0.25">
      <c r="A2" s="20">
        <v>45939</v>
      </c>
      <c r="B2" s="21" t="s">
        <v>7</v>
      </c>
      <c r="C2" s="22">
        <v>7.5</v>
      </c>
      <c r="D2" s="23">
        <v>6</v>
      </c>
      <c r="E2" s="24" t="s">
        <v>9</v>
      </c>
      <c r="F2" s="24" t="s">
        <v>13</v>
      </c>
      <c r="G2" s="25" t="s">
        <v>37</v>
      </c>
    </row>
    <row r="3" spans="1:7" ht="45" x14ac:dyDescent="0.25">
      <c r="A3" s="26">
        <v>45951</v>
      </c>
      <c r="B3" s="27" t="s">
        <v>6</v>
      </c>
      <c r="C3" s="28">
        <v>4</v>
      </c>
      <c r="D3" s="29">
        <v>4</v>
      </c>
      <c r="E3" s="30" t="s">
        <v>9</v>
      </c>
      <c r="F3" s="31" t="s">
        <v>36</v>
      </c>
      <c r="G3" s="32" t="s">
        <v>15</v>
      </c>
    </row>
    <row r="4" spans="1:7" ht="30" x14ac:dyDescent="0.25">
      <c r="A4" s="33">
        <v>45952</v>
      </c>
      <c r="B4" s="34" t="s">
        <v>7</v>
      </c>
      <c r="C4" s="35">
        <v>6</v>
      </c>
      <c r="D4" s="35">
        <v>6</v>
      </c>
      <c r="E4" s="36" t="s">
        <v>9</v>
      </c>
      <c r="F4" s="37" t="s">
        <v>54</v>
      </c>
      <c r="G4" s="38"/>
    </row>
    <row r="5" spans="1:7" ht="45" x14ac:dyDescent="0.25">
      <c r="A5" s="39">
        <v>45954</v>
      </c>
      <c r="B5" s="40" t="s">
        <v>50</v>
      </c>
      <c r="C5" s="41">
        <v>8</v>
      </c>
      <c r="D5" s="42">
        <v>8</v>
      </c>
      <c r="E5" s="43" t="s">
        <v>9</v>
      </c>
      <c r="F5" s="44" t="s">
        <v>51</v>
      </c>
      <c r="G5" s="45" t="s">
        <v>52</v>
      </c>
    </row>
    <row r="6" spans="1:7" x14ac:dyDescent="0.25">
      <c r="A6" s="20">
        <v>45958</v>
      </c>
      <c r="B6" s="21" t="s">
        <v>55</v>
      </c>
      <c r="C6" s="22">
        <v>4</v>
      </c>
      <c r="D6" s="23">
        <v>4</v>
      </c>
      <c r="E6" s="24" t="s">
        <v>9</v>
      </c>
      <c r="F6" s="46" t="s">
        <v>53</v>
      </c>
      <c r="G6" s="47"/>
    </row>
    <row r="7" spans="1:7" x14ac:dyDescent="0.25">
      <c r="A7" s="34">
        <v>45959</v>
      </c>
      <c r="B7" s="34" t="s">
        <v>6</v>
      </c>
      <c r="C7" s="35">
        <v>6.5</v>
      </c>
      <c r="D7" s="48">
        <v>6.5</v>
      </c>
      <c r="E7" s="49" t="s">
        <v>9</v>
      </c>
      <c r="F7" s="50" t="s">
        <v>56</v>
      </c>
      <c r="G7" s="50"/>
    </row>
    <row r="8" spans="1:7" ht="30" x14ac:dyDescent="0.25">
      <c r="A8" s="34">
        <v>45961</v>
      </c>
      <c r="B8" s="34" t="s">
        <v>50</v>
      </c>
      <c r="C8" s="35">
        <v>7</v>
      </c>
      <c r="D8" s="35">
        <v>7</v>
      </c>
      <c r="E8" s="51" t="s">
        <v>9</v>
      </c>
      <c r="F8" s="52" t="s">
        <v>57</v>
      </c>
      <c r="G8" s="37"/>
    </row>
    <row r="9" spans="1:7" ht="30" x14ac:dyDescent="0.25">
      <c r="A9" s="34">
        <v>45965</v>
      </c>
      <c r="B9" s="34" t="s">
        <v>55</v>
      </c>
      <c r="C9" s="35">
        <v>6.5</v>
      </c>
      <c r="D9" s="35">
        <v>6.5</v>
      </c>
      <c r="E9" s="49" t="s">
        <v>9</v>
      </c>
      <c r="F9" s="50" t="s">
        <v>58</v>
      </c>
      <c r="G9" s="53"/>
    </row>
    <row r="10" spans="1:7" ht="45" x14ac:dyDescent="0.25">
      <c r="A10" s="34">
        <v>45966</v>
      </c>
      <c r="B10" s="34" t="s">
        <v>6</v>
      </c>
      <c r="C10" s="35">
        <v>7</v>
      </c>
      <c r="D10" s="35">
        <v>7</v>
      </c>
      <c r="E10" s="51" t="s">
        <v>9</v>
      </c>
      <c r="F10" s="37" t="s">
        <v>59</v>
      </c>
      <c r="G10" s="37"/>
    </row>
    <row r="11" spans="1:7" ht="45" x14ac:dyDescent="0.25">
      <c r="A11" s="11">
        <v>45979</v>
      </c>
      <c r="B11" s="11" t="s">
        <v>7</v>
      </c>
      <c r="C11" s="12">
        <v>6.5</v>
      </c>
      <c r="D11" s="54">
        <v>6.5</v>
      </c>
      <c r="E11" s="55" t="s">
        <v>9</v>
      </c>
      <c r="F11" s="37" t="s">
        <v>60</v>
      </c>
      <c r="G11" s="15"/>
    </row>
    <row r="12" spans="1:7" x14ac:dyDescent="0.25">
      <c r="A12" s="11">
        <v>45980</v>
      </c>
      <c r="B12" s="11" t="s">
        <v>6</v>
      </c>
      <c r="C12" s="12">
        <v>7</v>
      </c>
      <c r="D12" s="12">
        <v>7</v>
      </c>
      <c r="E12" s="51" t="s">
        <v>9</v>
      </c>
      <c r="F12" s="52" t="s">
        <v>61</v>
      </c>
      <c r="G12" s="13"/>
    </row>
    <row r="13" spans="1:7" x14ac:dyDescent="0.25">
      <c r="A13" s="11"/>
      <c r="B13" s="11"/>
      <c r="C13" s="12"/>
      <c r="D13" s="14"/>
      <c r="E13" s="15"/>
      <c r="F13" s="15"/>
      <c r="G13" s="15"/>
    </row>
    <row r="14" spans="1:7" x14ac:dyDescent="0.25">
      <c r="A14" s="11"/>
      <c r="B14" s="11"/>
      <c r="C14" s="12"/>
      <c r="D14" s="12"/>
      <c r="E14" s="13"/>
      <c r="F14" s="13"/>
      <c r="G14" s="13"/>
    </row>
    <row r="15" spans="1:7" x14ac:dyDescent="0.25">
      <c r="A15" s="11"/>
      <c r="B15" s="11"/>
      <c r="C15" s="12"/>
      <c r="D15" s="14"/>
      <c r="E15" s="15"/>
      <c r="F15" s="15"/>
      <c r="G15" s="15"/>
    </row>
    <row r="16" spans="1:7" x14ac:dyDescent="0.25">
      <c r="A16" s="11"/>
      <c r="B16" s="11"/>
      <c r="C16" s="12"/>
      <c r="D16" s="12"/>
      <c r="E16" s="13"/>
      <c r="F16" s="13"/>
      <c r="G16" s="13"/>
    </row>
    <row r="17" spans="1:7" x14ac:dyDescent="0.25">
      <c r="A17" s="11"/>
      <c r="B17" s="11"/>
      <c r="C17" s="12"/>
      <c r="D17" s="14"/>
      <c r="E17" s="15"/>
      <c r="F17" s="15"/>
      <c r="G17" s="15"/>
    </row>
    <row r="18" spans="1:7" x14ac:dyDescent="0.25">
      <c r="A18" s="11"/>
      <c r="B18" s="11"/>
      <c r="C18" s="12"/>
      <c r="D18" s="12"/>
      <c r="E18" s="13"/>
      <c r="F18" s="13"/>
      <c r="G18" s="13"/>
    </row>
    <row r="19" spans="1:7" x14ac:dyDescent="0.25">
      <c r="A19" s="11"/>
      <c r="B19" s="11"/>
      <c r="C19" s="12"/>
      <c r="D19" s="14"/>
      <c r="E19" s="15"/>
      <c r="F19" s="15"/>
      <c r="G19" s="15"/>
    </row>
    <row r="20" spans="1:7" x14ac:dyDescent="0.25">
      <c r="C20" s="7">
        <f>SUM(C2:C19)</f>
        <v>70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D390-693C-4B16-8414-58FEADBDD9D3}">
  <dimension ref="B2:D8"/>
  <sheetViews>
    <sheetView workbookViewId="0">
      <selection activeCell="B5" sqref="B5"/>
    </sheetView>
  </sheetViews>
  <sheetFormatPr defaultRowHeight="15" x14ac:dyDescent="0.25"/>
  <cols>
    <col min="2" max="2" width="36.7109375" customWidth="1"/>
  </cols>
  <sheetData>
    <row r="2" spans="2:4" x14ac:dyDescent="0.25">
      <c r="B2" s="1" t="s">
        <v>4</v>
      </c>
      <c r="C2" s="4" t="s">
        <v>9</v>
      </c>
      <c r="D2" s="4" t="s">
        <v>8</v>
      </c>
    </row>
    <row r="3" spans="2:4" x14ac:dyDescent="0.25">
      <c r="B3" s="2" t="s">
        <v>13</v>
      </c>
      <c r="C3" s="5">
        <f>SUMIF(tunnit!F:F,yhteenveto!B3,tunnit!D:D)</f>
        <v>6</v>
      </c>
      <c r="D3" s="6">
        <f t="shared" ref="D3:D8" si="0">SUM(C3:C3)</f>
        <v>6</v>
      </c>
    </row>
    <row r="4" spans="2:4" x14ac:dyDescent="0.25">
      <c r="B4" s="2" t="s">
        <v>12</v>
      </c>
      <c r="C4" s="5">
        <f>SUMIF(tunnit!F:F,yhteenveto!B4,tunnit!D:D)</f>
        <v>0</v>
      </c>
      <c r="D4" s="6">
        <f t="shared" si="0"/>
        <v>0</v>
      </c>
    </row>
    <row r="5" spans="2:4" x14ac:dyDescent="0.25">
      <c r="B5" s="2" t="s">
        <v>14</v>
      </c>
      <c r="C5" s="5">
        <f>SUMIF(tunnit!F:F,yhteenveto!B5,tunnit!D:D)</f>
        <v>0</v>
      </c>
      <c r="D5" s="6">
        <f t="shared" si="0"/>
        <v>0</v>
      </c>
    </row>
    <row r="6" spans="2:4" x14ac:dyDescent="0.25">
      <c r="B6" s="2" t="s">
        <v>11</v>
      </c>
      <c r="C6" s="5">
        <f>SUMIF(tunnit!F:F,yhteenveto!B6,tunnit!D:D)</f>
        <v>0</v>
      </c>
      <c r="D6" s="6">
        <f t="shared" si="0"/>
        <v>0</v>
      </c>
    </row>
    <row r="7" spans="2:4" x14ac:dyDescent="0.25">
      <c r="B7" s="2" t="s">
        <v>10</v>
      </c>
      <c r="C7" s="5">
        <f>SUMIF(tunnit!F:F,yhteenveto!B7,tunnit!D:D)</f>
        <v>0</v>
      </c>
      <c r="D7" s="6">
        <f t="shared" si="0"/>
        <v>0</v>
      </c>
    </row>
    <row r="8" spans="2:4" x14ac:dyDescent="0.25">
      <c r="B8" s="3" t="s">
        <v>8</v>
      </c>
      <c r="C8" s="6">
        <f>SUM(C3:C7)</f>
        <v>6</v>
      </c>
      <c r="D8" s="6">
        <f t="shared" si="0"/>
        <v>6</v>
      </c>
    </row>
  </sheetData>
  <sortState xmlns:xlrd2="http://schemas.microsoft.com/office/spreadsheetml/2017/richdata2" ref="B3:B7">
    <sortCondition ref="B3:B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EA9D-90DB-45E0-B756-AB69A8853FA6}">
  <dimension ref="A1:E26"/>
  <sheetViews>
    <sheetView topLeftCell="A7" workbookViewId="0">
      <selection activeCell="B13" sqref="B13:C13"/>
    </sheetView>
  </sheetViews>
  <sheetFormatPr defaultRowHeight="15" x14ac:dyDescent="0.25"/>
  <cols>
    <col min="1" max="1" width="11.85546875" customWidth="1"/>
    <col min="2" max="2" width="25.7109375" customWidth="1"/>
    <col min="3" max="3" width="15" bestFit="1" customWidth="1"/>
  </cols>
  <sheetData>
    <row r="1" spans="1:3" ht="47.25" x14ac:dyDescent="0.25">
      <c r="A1" s="8" t="s">
        <v>16</v>
      </c>
      <c r="B1" s="8" t="s">
        <v>17</v>
      </c>
      <c r="C1" s="8" t="s">
        <v>18</v>
      </c>
    </row>
    <row r="2" spans="1:3" ht="15.75" x14ac:dyDescent="0.25">
      <c r="A2" s="9"/>
    </row>
    <row r="3" spans="1:3" ht="126" x14ac:dyDescent="0.25">
      <c r="A3" s="8">
        <v>3</v>
      </c>
      <c r="B3" s="8" t="s">
        <v>19</v>
      </c>
      <c r="C3" s="8" t="s">
        <v>20</v>
      </c>
    </row>
    <row r="4" spans="1:3" ht="15.75" x14ac:dyDescent="0.25">
      <c r="A4" s="9"/>
    </row>
    <row r="5" spans="1:3" ht="63" x14ac:dyDescent="0.25">
      <c r="A5" s="8">
        <v>4</v>
      </c>
      <c r="B5" s="8" t="s">
        <v>21</v>
      </c>
      <c r="C5" s="8" t="s">
        <v>22</v>
      </c>
    </row>
    <row r="6" spans="1:3" ht="15.75" x14ac:dyDescent="0.25">
      <c r="A6" s="9"/>
    </row>
    <row r="7" spans="1:3" ht="78.75" x14ac:dyDescent="0.25">
      <c r="A7" s="8">
        <v>5</v>
      </c>
      <c r="B7" s="8" t="s">
        <v>23</v>
      </c>
      <c r="C7" s="8" t="s">
        <v>24</v>
      </c>
    </row>
    <row r="8" spans="1:3" ht="15.75" x14ac:dyDescent="0.25">
      <c r="A8" s="9"/>
    </row>
    <row r="9" spans="1:3" ht="31.5" x14ac:dyDescent="0.25">
      <c r="A9" s="8">
        <v>6</v>
      </c>
      <c r="B9" s="8" t="s">
        <v>25</v>
      </c>
      <c r="C9" s="8" t="s">
        <v>26</v>
      </c>
    </row>
    <row r="10" spans="1:3" ht="15.75" x14ac:dyDescent="0.25">
      <c r="A10" s="9"/>
    </row>
    <row r="11" spans="1:3" ht="31.5" x14ac:dyDescent="0.25">
      <c r="A11" s="8">
        <v>7</v>
      </c>
      <c r="B11" s="8" t="s">
        <v>27</v>
      </c>
      <c r="C11" s="8" t="s">
        <v>28</v>
      </c>
    </row>
    <row r="12" spans="1:3" ht="15.75" x14ac:dyDescent="0.25">
      <c r="A12" s="9"/>
    </row>
    <row r="13" spans="1:3" ht="15.75" x14ac:dyDescent="0.25">
      <c r="A13" s="8">
        <v>8</v>
      </c>
      <c r="B13" s="8" t="s">
        <v>29</v>
      </c>
      <c r="C13" s="8" t="s">
        <v>30</v>
      </c>
    </row>
    <row r="14" spans="1:3" ht="15.75" x14ac:dyDescent="0.25">
      <c r="A14" s="9"/>
    </row>
    <row r="15" spans="1:3" ht="31.5" x14ac:dyDescent="0.25">
      <c r="A15" s="8">
        <v>9</v>
      </c>
      <c r="B15" s="8" t="s">
        <v>31</v>
      </c>
      <c r="C15" s="8" t="s">
        <v>32</v>
      </c>
    </row>
    <row r="16" spans="1:3" ht="15.75" x14ac:dyDescent="0.25">
      <c r="A16" s="9"/>
    </row>
    <row r="17" spans="1:5" ht="47.25" x14ac:dyDescent="0.25">
      <c r="A17" s="8">
        <v>10</v>
      </c>
      <c r="B17" s="8" t="s">
        <v>33</v>
      </c>
      <c r="C17" s="8" t="s">
        <v>34</v>
      </c>
    </row>
    <row r="18" spans="1:5" ht="15.75" x14ac:dyDescent="0.25">
      <c r="A18" s="8"/>
      <c r="B18" s="8"/>
      <c r="C18" s="8"/>
    </row>
    <row r="19" spans="1:5" ht="18.75" x14ac:dyDescent="0.25">
      <c r="A19" s="10"/>
    </row>
    <row r="20" spans="1:5" ht="15.75" x14ac:dyDescent="0.25">
      <c r="A20" s="9"/>
      <c r="E20">
        <v>405</v>
      </c>
    </row>
    <row r="21" spans="1:5" ht="15.75" x14ac:dyDescent="0.25">
      <c r="A21" s="9" t="s">
        <v>35</v>
      </c>
      <c r="E21">
        <v>36</v>
      </c>
    </row>
    <row r="22" spans="1:5" x14ac:dyDescent="0.25">
      <c r="E22">
        <f>E20-E21</f>
        <v>369</v>
      </c>
    </row>
    <row r="23" spans="1:5" ht="30" x14ac:dyDescent="0.25">
      <c r="A23" s="19" t="s">
        <v>38</v>
      </c>
      <c r="B23" s="19" t="s">
        <v>39</v>
      </c>
      <c r="C23" s="19" t="s">
        <v>40</v>
      </c>
    </row>
    <row r="24" spans="1:5" ht="30" x14ac:dyDescent="0.25">
      <c r="A24" s="19" t="s">
        <v>41</v>
      </c>
      <c r="B24" s="19" t="s">
        <v>42</v>
      </c>
      <c r="C24" s="19" t="s">
        <v>43</v>
      </c>
    </row>
    <row r="25" spans="1:5" ht="30" x14ac:dyDescent="0.25">
      <c r="A25" s="19" t="s">
        <v>44</v>
      </c>
      <c r="B25" s="19" t="s">
        <v>45</v>
      </c>
      <c r="C25" s="19" t="s">
        <v>46</v>
      </c>
    </row>
    <row r="26" spans="1:5" ht="30" x14ac:dyDescent="0.25">
      <c r="A26" s="19" t="s">
        <v>47</v>
      </c>
      <c r="B26" s="19" t="s">
        <v>48</v>
      </c>
      <c r="C26" s="19" t="s">
        <v>49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A3B01681A17E041A19037BA597D1C86" ma:contentTypeVersion="12" ma:contentTypeDescription="Luo uusi asiakirja." ma:contentTypeScope="" ma:versionID="ca537cae08f959cd75b47a6fdb2cba50">
  <xsd:schema xmlns:xsd="http://www.w3.org/2001/XMLSchema" xmlns:xs="http://www.w3.org/2001/XMLSchema" xmlns:p="http://schemas.microsoft.com/office/2006/metadata/properties" xmlns:ns2="aee9339b-7095-4861-9341-62921a98955a" xmlns:ns3="660b6cfa-6e14-4451-aa9c-04f8e527d3c1" targetNamespace="http://schemas.microsoft.com/office/2006/metadata/properties" ma:root="true" ma:fieldsID="113a82006141fe5afd4730f10724ab16" ns2:_="" ns3:_="">
    <xsd:import namespace="aee9339b-7095-4861-9341-62921a98955a"/>
    <xsd:import namespace="660b6cfa-6e14-4451-aa9c-04f8e527d3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9339b-7095-4861-9341-62921a9895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uvien tunnisteet" ma:readOnly="false" ma:fieldId="{5cf76f15-5ced-4ddc-b409-7134ff3c332f}" ma:taxonomyMulti="true" ma:sspId="fe7cb61c-dd39-43d3-bf86-c9bf05141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b6cfa-6e14-4451-aa9c-04f8e527d3c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0bef1e1-5831-41a0-b0fa-60567bf8afa3}" ma:internalName="TaxCatchAll" ma:showField="CatchAllData" ma:web="660b6cfa-6e14-4451-aa9c-04f8e527d3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e9339b-7095-4861-9341-62921a98955a">
      <Terms xmlns="http://schemas.microsoft.com/office/infopath/2007/PartnerControls"/>
    </lcf76f155ced4ddcb4097134ff3c332f>
    <TaxCatchAll xmlns="660b6cfa-6e14-4451-aa9c-04f8e527d3c1" xsi:nil="true"/>
  </documentManagement>
</p:properties>
</file>

<file path=customXml/itemProps1.xml><?xml version="1.0" encoding="utf-8"?>
<ds:datastoreItem xmlns:ds="http://schemas.openxmlformats.org/officeDocument/2006/customXml" ds:itemID="{69F54F30-26E5-472C-92E0-CAD89654A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EB30EA-D46C-45FA-8FBE-6FF8366F3C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9339b-7095-4861-9341-62921a98955a"/>
    <ds:schemaRef ds:uri="660b6cfa-6e14-4451-aa9c-04f8e527d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8DC34F-B8C7-4EBB-B5AA-5C1A72982195}">
  <ds:schemaRefs>
    <ds:schemaRef ds:uri="http://schemas.microsoft.com/office/2006/metadata/properties"/>
    <ds:schemaRef ds:uri="http://schemas.microsoft.com/office/infopath/2007/PartnerControls"/>
    <ds:schemaRef ds:uri="aee9339b-7095-4861-9341-62921a98955a"/>
    <ds:schemaRef ds:uri="660b6cfa-6e14-4451-aa9c-04f8e527d3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tunnit</vt:lpstr>
      <vt:lpstr>yhteenveto</vt:lpstr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Eerikki Maula</dc:creator>
  <cp:keywords/>
  <dc:description/>
  <cp:lastModifiedBy>Iryna Sula</cp:lastModifiedBy>
  <cp:revision/>
  <dcterms:created xsi:type="dcterms:W3CDTF">2021-09-02T05:05:29Z</dcterms:created>
  <dcterms:modified xsi:type="dcterms:W3CDTF">2025-11-19T12:52:31Z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0x0101001A3B01681A17E041A19037BA597D1C86</vt:lpwstr>
  </property>
  <property fmtid="{D5CDD505-2E9C-101B-9397-08002B2CF9AE}" pid="3" name="MediaServiceImageTags">
    <vt:lpwstr/>
  </property>
</Properties>
</file>